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DD96932-AD6E-47D5-BD12-E98E03A4D3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g_Cong_Tong_Hop" sheetId="1" r:id="rId1"/>
    <sheet name="Mapping_Vao_Bang_Luo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6" i="1" l="1"/>
  <c r="Q16" i="1"/>
  <c r="P16" i="1"/>
  <c r="O16" i="1"/>
  <c r="N16" i="1"/>
  <c r="M16" i="1"/>
  <c r="L16" i="1"/>
  <c r="K16" i="1"/>
  <c r="J16" i="1"/>
  <c r="I16" i="1"/>
  <c r="H16" i="1"/>
  <c r="G16" i="1"/>
  <c r="F16" i="1"/>
  <c r="S15" i="1"/>
  <c r="S14" i="1"/>
  <c r="S13" i="1"/>
  <c r="S12" i="1"/>
  <c r="S11" i="1"/>
  <c r="S10" i="1"/>
  <c r="S9" i="1"/>
  <c r="S8" i="1"/>
  <c r="S7" i="1"/>
  <c r="S6" i="1"/>
  <c r="S16" i="1" s="1"/>
</calcChain>
</file>

<file path=xl/sharedStrings.xml><?xml version="1.0" encoding="utf-8"?>
<sst xmlns="http://schemas.openxmlformats.org/spreadsheetml/2006/main" count="115" uniqueCount="112">
  <si>
    <t>THÔNG TIN NHÂN VIÊN</t>
  </si>
  <si>
    <t>CÔNG CHUẨN</t>
  </si>
  <si>
    <t>CÔNG HƯỞNG NGUYÊN LƯƠNG (NGÀY)</t>
  </si>
  <si>
    <t>NGHỈ KHÔNG LƯƠNG / CHẾ ĐỘ</t>
  </si>
  <si>
    <t>LÀM THÊM GIỜ - OT (GIỜ)</t>
  </si>
  <si>
    <t>KỶ LUẬT / CHUYÊN CẦN</t>
  </si>
  <si>
    <t>TỔNG CHỐT</t>
  </si>
  <si>
    <t>STT</t>
  </si>
  <si>
    <t>Mã NV</t>
  </si>
  <si>
    <t>Họ và tên</t>
  </si>
  <si>
    <t>Phòng ban</t>
  </si>
  <si>
    <t>Công chuẩn</t>
  </si>
  <si>
    <t>Công thực tế
(CONG_TT)</t>
  </si>
  <si>
    <t>Phép năm
(PHEP_NAM)</t>
  </si>
  <si>
    <t>Nghỉ lễ/Tết
(LE_TET)</t>
  </si>
  <si>
    <t>Công tác
(CONG_TAC)</t>
  </si>
  <si>
    <t>Nghỉ có lương
(NGHI_HUONG_L)</t>
  </si>
  <si>
    <t>Nghỉ ko lương
(NGHI_KL)</t>
  </si>
  <si>
    <t>Nghỉ BHXH
(NGHI_BHXH)</t>
  </si>
  <si>
    <t>OT ngày thường
(OT_NT)</t>
  </si>
  <si>
    <t>OT cuối tuần
(OT_CT)</t>
  </si>
  <si>
    <t>OT ngày lễ
(OT_NL)</t>
  </si>
  <si>
    <t>Đi muộn
(lần)</t>
  </si>
  <si>
    <t>Đi muộn
(phút)</t>
  </si>
  <si>
    <t>Tổng công tính lương
(TONG_CONG)</t>
  </si>
  <si>
    <t>NV001</t>
  </si>
  <si>
    <t>Nguyễn Văn An</t>
  </si>
  <si>
    <t>Kỹ thuật IT</t>
  </si>
  <si>
    <t>NV002</t>
  </si>
  <si>
    <t>Trần Thị Bích</t>
  </si>
  <si>
    <t>Kế toán</t>
  </si>
  <si>
    <t>NV003</t>
  </si>
  <si>
    <t>Lê Văn Cường</t>
  </si>
  <si>
    <t>Kinh doanh</t>
  </si>
  <si>
    <t>NV004</t>
  </si>
  <si>
    <t>Phạm Minh Khang</t>
  </si>
  <si>
    <t>Hạ tầng mạng</t>
  </si>
  <si>
    <t>NV005</t>
  </si>
  <si>
    <t>Hoàng Thị Mai</t>
  </si>
  <si>
    <t>Nhân sự</t>
  </si>
  <si>
    <t>NV006</t>
  </si>
  <si>
    <t>Đỗ Quốc Bảo</t>
  </si>
  <si>
    <t>NV007</t>
  </si>
  <si>
    <t>Vũ Hải Đăng</t>
  </si>
  <si>
    <t>NV008</t>
  </si>
  <si>
    <t>Nguyễn Thùy Linh</t>
  </si>
  <si>
    <t>Marketing</t>
  </si>
  <si>
    <t>NV009</t>
  </si>
  <si>
    <t>Bùi Trọng Nghĩa</t>
  </si>
  <si>
    <t>Vận hành</t>
  </si>
  <si>
    <t>NV010</t>
  </si>
  <si>
    <t>Dương Thu Trang</t>
  </si>
  <si>
    <t>Hành chính</t>
  </si>
  <si>
    <t>TỔNG CỘNG</t>
  </si>
  <si>
    <t>QUY TẮC ÁNH XẠ (MAPPING) DỮ LIỆU CÔNG SANG PHÂN HỆ TIỀN LƯƠNG MISA</t>
  </si>
  <si>
    <t>Tài liệu kỹ thuật hướng dẫn HR/Kế toán thiết lập công thức payroll trên MISA AMIS</t>
  </si>
  <si>
    <t>Chỉ số trên Bảng công</t>
  </si>
  <si>
    <t>Mã biến MISA Chấm công</t>
  </si>
  <si>
    <t>Mã biến trên Bảng lương</t>
  </si>
  <si>
    <t>Công thức mẫu trên MISA Tiền lương</t>
  </si>
  <si>
    <t>Ghi chú nghiệp vụ</t>
  </si>
  <si>
    <t>Công làm việc thực tế</t>
  </si>
  <si>
    <t>CONG_TT</t>
  </si>
  <si>
    <t>CONG_THUC_TE</t>
  </si>
  <si>
    <t>[Luong_Co_Ban] / [Cong_Chuan] * [CONG_THUC_TE]</t>
  </si>
  <si>
    <t>Lương thời gian làm việc trực tiếp</t>
  </si>
  <si>
    <t>Nghỉ phép năm</t>
  </si>
  <si>
    <t>PHEP_NAM</t>
  </si>
  <si>
    <t>CONG_PHEP</t>
  </si>
  <si>
    <t>[Luong_Co_Ban] / [Cong_Chuan] * [CONG_PHEP]</t>
  </si>
  <si>
    <t>Hưởng 100% lương theo Luật Lao động</t>
  </si>
  <si>
    <t>Nghỉ lễ/Tết</t>
  </si>
  <si>
    <t>LE_TET</t>
  </si>
  <si>
    <t>CONG_LE</t>
  </si>
  <si>
    <t>[Luong_Co_Ban] / [Cong_Chuan] * [CONG_LE]</t>
  </si>
  <si>
    <t>Hưởng 100% lương theo quy định</t>
  </si>
  <si>
    <t>Tổng công hưởng lương</t>
  </si>
  <si>
    <t>TONG_CONG</t>
  </si>
  <si>
    <t>TONG_CONG_HL</t>
  </si>
  <si>
    <t>[Luong_Co_Ban] / [Cong_Chuan] * [TONG_CONG_HL]</t>
  </si>
  <si>
    <t>Tính gộp toàn bộ công thời gian hưởng lương</t>
  </si>
  <si>
    <t>Nghỉ không lương</t>
  </si>
  <si>
    <t>NGHI_KL</t>
  </si>
  <si>
    <t>CONG_KL</t>
  </si>
  <si>
    <t>Trừ vào công chuẩn khi tính thưởng</t>
  </si>
  <si>
    <t>Không sinh dòng lương thời gian</t>
  </si>
  <si>
    <t>Nghỉ BHXH (Ốm/Thai sản)</t>
  </si>
  <si>
    <t>NGHI_BHXH</t>
  </si>
  <si>
    <t>CONG_BHXH</t>
  </si>
  <si>
    <t>Lập hồ sơ C70a-HD gửi cơ quan BHXH</t>
  </si>
  <si>
    <t>Do cơ quan BHXH chi trả qua tài khoản NV</t>
  </si>
  <si>
    <t>OT ngày thường (150%)</t>
  </si>
  <si>
    <t>OT_NT</t>
  </si>
  <si>
    <t>GIO_OT_NT</t>
  </si>
  <si>
    <t>([Luong_Co_Ban] / [Cong_Chuan] / 8) * 1.5 * [GIO_OT_NT]</t>
  </si>
  <si>
    <t>Hệ số OT tối thiểu 1.5</t>
  </si>
  <si>
    <t>OT cuối tuần (200%)</t>
  </si>
  <si>
    <t>OT_CT</t>
  </si>
  <si>
    <t>GIO_OT_CT</t>
  </si>
  <si>
    <t>([Luong_Co_Ban] / [Cong_Chuan] / 8) * 2.0 * [GIO_OT_CT]</t>
  </si>
  <si>
    <t>Hệ số OT nghỉ tuần tối thiểu 2.0</t>
  </si>
  <si>
    <t>OT ngày lễ (300%)</t>
  </si>
  <si>
    <t>OT_NL</t>
  </si>
  <si>
    <t>GIO_OT_NL</t>
  </si>
  <si>
    <t>([Luong_Co_Ban] / [Cong_Chuan] / 8) * 3.0 * [GIO_OT_NL]</t>
  </si>
  <si>
    <t>Chưa bao gồm lương ngày lễ đã tính ở mục 3</t>
  </si>
  <si>
    <t>Đi muộn (phút)</t>
  </si>
  <si>
    <t>DI_MUON_PHUT</t>
  </si>
  <si>
    <t>SO_PHUT_MUON</t>
  </si>
  <si>
    <t>IF([SO_PHUT_MUON] &gt; 30, [SO_PHUT_MUON] * 2000, 0)</t>
  </si>
  <si>
    <t>Công thức phạt đi muộn nội bộ (nếu có)</t>
  </si>
  <si>
    <t>BẢNG CHẤM CÔNG TỔNG HỢP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</si>
</sst>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1F4E78"/>
      <name val="Calibri"/>
    </font>
    <font>
      <b/>
      <sz val="9"/>
      <color rgb="FF1F4E78"/>
      <name val="Consolas"/>
    </font>
    <font>
      <sz val="9"/>
      <color rgb="FFA61C1C"/>
      <name val="Consolas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95959"/>
        <bgColor rgb="FF595959"/>
      </patternFill>
    </fill>
    <fill>
      <patternFill patternType="solid">
        <fgColor rgb="FFC65911"/>
        <bgColor rgb="FFC65911"/>
      </patternFill>
    </fill>
    <fill>
      <patternFill patternType="solid">
        <fgColor rgb="FF833C0C"/>
        <bgColor rgb="FF833C0C"/>
      </patternFill>
    </fill>
    <fill>
      <patternFill patternType="solid">
        <fgColor rgb="FF1E4620"/>
        <bgColor rgb="FF1E4620"/>
      </patternFill>
    </fill>
    <fill>
      <patternFill patternType="solid">
        <fgColor rgb="FF2F5597"/>
        <bgColor rgb="FF2F5597"/>
      </patternFill>
    </fill>
    <fill>
      <patternFill patternType="solid">
        <fgColor rgb="FFD66011"/>
        <bgColor rgb="FFD66011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64" fontId="5" fillId="11" borderId="1" xfId="0" applyNumberFormat="1" applyFont="1" applyFill="1" applyBorder="1" applyAlignment="1">
      <alignment horizontal="right"/>
    </xf>
    <xf numFmtId="0" fontId="6" fillId="12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164" fontId="6" fillId="12" borderId="1" xfId="0" applyNumberFormat="1" applyFont="1" applyFill="1" applyBorder="1" applyAlignment="1">
      <alignment horizontal="right"/>
    </xf>
    <xf numFmtId="3" fontId="6" fillId="12" borderId="1" xfId="0" applyNumberFormat="1" applyFont="1" applyFill="1" applyBorder="1" applyAlignment="1">
      <alignment horizontal="right"/>
    </xf>
    <xf numFmtId="164" fontId="7" fillId="13" borderId="2" xfId="0" applyNumberFormat="1" applyFont="1" applyFill="1" applyBorder="1" applyAlignment="1">
      <alignment horizontal="right"/>
    </xf>
    <xf numFmtId="3" fontId="7" fillId="13" borderId="2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12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left"/>
    </xf>
    <xf numFmtId="0" fontId="7" fillId="13" borderId="2" xfId="0" applyFont="1" applyFill="1" applyBorder="1" applyAlignment="1">
      <alignment horizontal="center" vertical="center"/>
    </xf>
    <xf numFmtId="0" fontId="7" fillId="13" borderId="2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6"/>
  <sheetViews>
    <sheetView tabSelected="1" workbookViewId="0">
      <selection activeCell="A3" sqref="A3:XFD3"/>
    </sheetView>
  </sheetViews>
  <sheetFormatPr defaultRowHeight="14.4" x14ac:dyDescent="0.3"/>
  <cols>
    <col min="1" max="1" width="3" customWidth="1"/>
    <col min="2" max="2" width="6" customWidth="1"/>
    <col min="3" max="3" width="12" customWidth="1"/>
    <col min="4" max="4" width="22" customWidth="1"/>
    <col min="5" max="5" width="16" customWidth="1"/>
    <col min="6" max="6" width="12" customWidth="1"/>
    <col min="7" max="7" width="13" customWidth="1"/>
    <col min="8" max="10" width="12" customWidth="1"/>
    <col min="11" max="12" width="13" customWidth="1"/>
    <col min="13" max="13" width="12" customWidth="1"/>
    <col min="14" max="15" width="13" customWidth="1"/>
    <col min="16" max="16" width="12" customWidth="1"/>
    <col min="17" max="17" width="10" customWidth="1"/>
    <col min="18" max="18" width="11" customWidth="1"/>
    <col min="19" max="19" width="16" customWidth="1"/>
  </cols>
  <sheetData>
    <row r="2" spans="2:19" ht="21" x14ac:dyDescent="0.4">
      <c r="B2" s="1" t="s">
        <v>111</v>
      </c>
    </row>
    <row r="4" spans="2:19" ht="24" customHeight="1" x14ac:dyDescent="0.3">
      <c r="B4" s="33" t="s">
        <v>0</v>
      </c>
      <c r="C4" s="34"/>
      <c r="D4" s="34"/>
      <c r="E4" s="34"/>
      <c r="F4" s="3" t="s">
        <v>1</v>
      </c>
      <c r="G4" s="33" t="s">
        <v>2</v>
      </c>
      <c r="H4" s="34"/>
      <c r="I4" s="34"/>
      <c r="J4" s="34"/>
      <c r="K4" s="34"/>
      <c r="L4" s="35" t="s">
        <v>3</v>
      </c>
      <c r="M4" s="36"/>
      <c r="N4" s="31" t="s">
        <v>4</v>
      </c>
      <c r="O4" s="32"/>
      <c r="P4" s="32"/>
      <c r="Q4" s="29" t="s">
        <v>5</v>
      </c>
      <c r="R4" s="30"/>
      <c r="S4" s="4" t="s">
        <v>6</v>
      </c>
    </row>
    <row r="5" spans="2:19" ht="36" customHeight="1" x14ac:dyDescent="0.3">
      <c r="B5" s="5" t="s">
        <v>7</v>
      </c>
      <c r="C5" s="6" t="s">
        <v>8</v>
      </c>
      <c r="D5" s="7" t="s">
        <v>9</v>
      </c>
      <c r="E5" s="7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8" t="s">
        <v>19</v>
      </c>
      <c r="O5" s="8" t="s">
        <v>20</v>
      </c>
      <c r="P5" s="8" t="s">
        <v>21</v>
      </c>
      <c r="Q5" s="5" t="s">
        <v>22</v>
      </c>
      <c r="R5" s="5" t="s">
        <v>23</v>
      </c>
      <c r="S5" s="9" t="s">
        <v>24</v>
      </c>
    </row>
    <row r="6" spans="2:19" ht="19.95" customHeight="1" x14ac:dyDescent="0.3">
      <c r="B6" s="10">
        <v>1</v>
      </c>
      <c r="C6" s="10" t="s">
        <v>25</v>
      </c>
      <c r="D6" s="11" t="s">
        <v>26</v>
      </c>
      <c r="E6" s="11" t="s">
        <v>27</v>
      </c>
      <c r="F6" s="12">
        <v>26</v>
      </c>
      <c r="G6" s="13">
        <v>24</v>
      </c>
      <c r="H6" s="13">
        <v>2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4.5</v>
      </c>
      <c r="O6" s="13">
        <v>0</v>
      </c>
      <c r="P6" s="13">
        <v>0</v>
      </c>
      <c r="Q6" s="14">
        <v>1</v>
      </c>
      <c r="R6" s="14">
        <v>15</v>
      </c>
      <c r="S6" s="15">
        <f t="shared" ref="S6:S15" si="0">SUM(G6:K6)</f>
        <v>26</v>
      </c>
    </row>
    <row r="7" spans="2:19" ht="19.95" customHeight="1" x14ac:dyDescent="0.3">
      <c r="B7" s="16">
        <v>2</v>
      </c>
      <c r="C7" s="16" t="s">
        <v>28</v>
      </c>
      <c r="D7" s="17" t="s">
        <v>29</v>
      </c>
      <c r="E7" s="17" t="s">
        <v>30</v>
      </c>
      <c r="F7" s="18">
        <v>26</v>
      </c>
      <c r="G7" s="19">
        <v>23.5</v>
      </c>
      <c r="H7" s="19">
        <v>1</v>
      </c>
      <c r="I7" s="19">
        <v>0</v>
      </c>
      <c r="J7" s="19">
        <v>1</v>
      </c>
      <c r="K7" s="19">
        <v>0.5</v>
      </c>
      <c r="L7" s="19">
        <v>0.5</v>
      </c>
      <c r="M7" s="19">
        <v>0</v>
      </c>
      <c r="N7" s="19">
        <v>0</v>
      </c>
      <c r="O7" s="19">
        <v>0</v>
      </c>
      <c r="P7" s="19">
        <v>0</v>
      </c>
      <c r="Q7" s="20">
        <v>0</v>
      </c>
      <c r="R7" s="20">
        <v>0</v>
      </c>
      <c r="S7" s="15">
        <f t="shared" si="0"/>
        <v>26</v>
      </c>
    </row>
    <row r="8" spans="2:19" ht="19.95" customHeight="1" x14ac:dyDescent="0.3">
      <c r="B8" s="10">
        <v>3</v>
      </c>
      <c r="C8" s="10" t="s">
        <v>31</v>
      </c>
      <c r="D8" s="11" t="s">
        <v>32</v>
      </c>
      <c r="E8" s="11" t="s">
        <v>33</v>
      </c>
      <c r="F8" s="12">
        <v>26</v>
      </c>
      <c r="G8" s="13">
        <v>20</v>
      </c>
      <c r="H8" s="13">
        <v>0</v>
      </c>
      <c r="I8" s="13">
        <v>0</v>
      </c>
      <c r="J8" s="13">
        <v>2</v>
      </c>
      <c r="K8" s="13">
        <v>0</v>
      </c>
      <c r="L8" s="13">
        <v>0</v>
      </c>
      <c r="M8" s="13">
        <v>4</v>
      </c>
      <c r="N8" s="13">
        <v>6</v>
      </c>
      <c r="O8" s="13">
        <v>8</v>
      </c>
      <c r="P8" s="13">
        <v>0</v>
      </c>
      <c r="Q8" s="14">
        <v>3</v>
      </c>
      <c r="R8" s="14">
        <v>45</v>
      </c>
      <c r="S8" s="15">
        <f t="shared" si="0"/>
        <v>22</v>
      </c>
    </row>
    <row r="9" spans="2:19" ht="19.95" customHeight="1" x14ac:dyDescent="0.3">
      <c r="B9" s="16">
        <v>4</v>
      </c>
      <c r="C9" s="16" t="s">
        <v>34</v>
      </c>
      <c r="D9" s="17" t="s">
        <v>35</v>
      </c>
      <c r="E9" s="17" t="s">
        <v>36</v>
      </c>
      <c r="F9" s="18">
        <v>26</v>
      </c>
      <c r="G9" s="19">
        <v>25</v>
      </c>
      <c r="H9" s="19">
        <v>1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10</v>
      </c>
      <c r="O9" s="19">
        <v>4</v>
      </c>
      <c r="P9" s="19">
        <v>0</v>
      </c>
      <c r="Q9" s="20">
        <v>0</v>
      </c>
      <c r="R9" s="20">
        <v>0</v>
      </c>
      <c r="S9" s="15">
        <f t="shared" si="0"/>
        <v>26</v>
      </c>
    </row>
    <row r="10" spans="2:19" ht="19.95" customHeight="1" x14ac:dyDescent="0.3">
      <c r="B10" s="10">
        <v>5</v>
      </c>
      <c r="C10" s="10" t="s">
        <v>37</v>
      </c>
      <c r="D10" s="11" t="s">
        <v>38</v>
      </c>
      <c r="E10" s="11" t="s">
        <v>39</v>
      </c>
      <c r="F10" s="12">
        <v>26</v>
      </c>
      <c r="G10" s="13">
        <v>22</v>
      </c>
      <c r="H10" s="13">
        <v>2</v>
      </c>
      <c r="I10" s="13">
        <v>0</v>
      </c>
      <c r="J10" s="13">
        <v>0</v>
      </c>
      <c r="K10" s="13">
        <v>0</v>
      </c>
      <c r="L10" s="13">
        <v>2</v>
      </c>
      <c r="M10" s="13">
        <v>0</v>
      </c>
      <c r="N10" s="13">
        <v>0</v>
      </c>
      <c r="O10" s="13">
        <v>0</v>
      </c>
      <c r="P10" s="13">
        <v>0</v>
      </c>
      <c r="Q10" s="14">
        <v>2</v>
      </c>
      <c r="R10" s="14">
        <v>20</v>
      </c>
      <c r="S10" s="15">
        <f t="shared" si="0"/>
        <v>24</v>
      </c>
    </row>
    <row r="11" spans="2:19" ht="19.95" customHeight="1" x14ac:dyDescent="0.3">
      <c r="B11" s="16">
        <v>6</v>
      </c>
      <c r="C11" s="16" t="s">
        <v>40</v>
      </c>
      <c r="D11" s="17" t="s">
        <v>41</v>
      </c>
      <c r="E11" s="17" t="s">
        <v>27</v>
      </c>
      <c r="F11" s="18">
        <v>26</v>
      </c>
      <c r="G11" s="19">
        <v>24.5</v>
      </c>
      <c r="H11" s="19">
        <v>1.5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5</v>
      </c>
      <c r="O11" s="19">
        <v>0</v>
      </c>
      <c r="P11" s="19">
        <v>0</v>
      </c>
      <c r="Q11" s="20">
        <v>0</v>
      </c>
      <c r="R11" s="20">
        <v>0</v>
      </c>
      <c r="S11" s="15">
        <f t="shared" si="0"/>
        <v>26</v>
      </c>
    </row>
    <row r="12" spans="2:19" ht="19.95" customHeight="1" x14ac:dyDescent="0.3">
      <c r="B12" s="10">
        <v>7</v>
      </c>
      <c r="C12" s="10" t="s">
        <v>42</v>
      </c>
      <c r="D12" s="11" t="s">
        <v>43</v>
      </c>
      <c r="E12" s="11" t="s">
        <v>33</v>
      </c>
      <c r="F12" s="12">
        <v>26</v>
      </c>
      <c r="G12" s="13">
        <v>21</v>
      </c>
      <c r="H12" s="13">
        <v>1</v>
      </c>
      <c r="I12" s="13">
        <v>0</v>
      </c>
      <c r="J12" s="13">
        <v>3</v>
      </c>
      <c r="K12" s="13">
        <v>1</v>
      </c>
      <c r="L12" s="13">
        <v>0</v>
      </c>
      <c r="M12" s="13">
        <v>0</v>
      </c>
      <c r="N12" s="13">
        <v>2</v>
      </c>
      <c r="O12" s="13">
        <v>0</v>
      </c>
      <c r="P12" s="13">
        <v>0</v>
      </c>
      <c r="Q12" s="14">
        <v>1</v>
      </c>
      <c r="R12" s="14">
        <v>10</v>
      </c>
      <c r="S12" s="15">
        <f t="shared" si="0"/>
        <v>26</v>
      </c>
    </row>
    <row r="13" spans="2:19" ht="19.95" customHeight="1" x14ac:dyDescent="0.3">
      <c r="B13" s="16">
        <v>8</v>
      </c>
      <c r="C13" s="16" t="s">
        <v>44</v>
      </c>
      <c r="D13" s="17" t="s">
        <v>45</v>
      </c>
      <c r="E13" s="17" t="s">
        <v>46</v>
      </c>
      <c r="F13" s="18">
        <v>26</v>
      </c>
      <c r="G13" s="19">
        <v>23</v>
      </c>
      <c r="H13" s="19">
        <v>1</v>
      </c>
      <c r="I13" s="19">
        <v>0</v>
      </c>
      <c r="J13" s="19">
        <v>0</v>
      </c>
      <c r="K13" s="19">
        <v>0</v>
      </c>
      <c r="L13" s="19">
        <v>1</v>
      </c>
      <c r="M13" s="19">
        <v>1</v>
      </c>
      <c r="N13" s="19">
        <v>0</v>
      </c>
      <c r="O13" s="19">
        <v>0</v>
      </c>
      <c r="P13" s="19">
        <v>0</v>
      </c>
      <c r="Q13" s="20">
        <v>0</v>
      </c>
      <c r="R13" s="20">
        <v>0</v>
      </c>
      <c r="S13" s="15">
        <f t="shared" si="0"/>
        <v>24</v>
      </c>
    </row>
    <row r="14" spans="2:19" ht="19.95" customHeight="1" x14ac:dyDescent="0.3">
      <c r="B14" s="10">
        <v>9</v>
      </c>
      <c r="C14" s="10" t="s">
        <v>47</v>
      </c>
      <c r="D14" s="11" t="s">
        <v>48</v>
      </c>
      <c r="E14" s="11" t="s">
        <v>49</v>
      </c>
      <c r="F14" s="12">
        <v>26</v>
      </c>
      <c r="G14" s="13">
        <v>26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12</v>
      </c>
      <c r="O14" s="13">
        <v>8</v>
      </c>
      <c r="P14" s="13">
        <v>8</v>
      </c>
      <c r="Q14" s="14">
        <v>0</v>
      </c>
      <c r="R14" s="14">
        <v>0</v>
      </c>
      <c r="S14" s="15">
        <f t="shared" si="0"/>
        <v>26</v>
      </c>
    </row>
    <row r="15" spans="2:19" ht="19.95" customHeight="1" x14ac:dyDescent="0.3">
      <c r="B15" s="16">
        <v>10</v>
      </c>
      <c r="C15" s="16" t="s">
        <v>50</v>
      </c>
      <c r="D15" s="17" t="s">
        <v>51</v>
      </c>
      <c r="E15" s="17" t="s">
        <v>52</v>
      </c>
      <c r="F15" s="18">
        <v>26</v>
      </c>
      <c r="G15" s="19">
        <v>25</v>
      </c>
      <c r="H15" s="19">
        <v>1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20">
        <v>0</v>
      </c>
      <c r="R15" s="20">
        <v>0</v>
      </c>
      <c r="S15" s="15">
        <f t="shared" si="0"/>
        <v>26</v>
      </c>
    </row>
    <row r="16" spans="2:19" ht="24" customHeight="1" x14ac:dyDescent="0.3">
      <c r="B16" s="27" t="s">
        <v>53</v>
      </c>
      <c r="C16" s="28"/>
      <c r="D16" s="28"/>
      <c r="E16" s="28"/>
      <c r="F16" s="21">
        <f t="shared" ref="F16:S16" si="1">SUM(F6:F15)</f>
        <v>260</v>
      </c>
      <c r="G16" s="21">
        <f t="shared" si="1"/>
        <v>234</v>
      </c>
      <c r="H16" s="21">
        <f t="shared" si="1"/>
        <v>10.5</v>
      </c>
      <c r="I16" s="21">
        <f t="shared" si="1"/>
        <v>0</v>
      </c>
      <c r="J16" s="21">
        <f t="shared" si="1"/>
        <v>6</v>
      </c>
      <c r="K16" s="21">
        <f t="shared" si="1"/>
        <v>1.5</v>
      </c>
      <c r="L16" s="21">
        <f t="shared" si="1"/>
        <v>3.5</v>
      </c>
      <c r="M16" s="21">
        <f t="shared" si="1"/>
        <v>5</v>
      </c>
      <c r="N16" s="21">
        <f t="shared" si="1"/>
        <v>39.5</v>
      </c>
      <c r="O16" s="21">
        <f t="shared" si="1"/>
        <v>20</v>
      </c>
      <c r="P16" s="21">
        <f t="shared" si="1"/>
        <v>8</v>
      </c>
      <c r="Q16" s="22">
        <f t="shared" si="1"/>
        <v>7</v>
      </c>
      <c r="R16" s="22">
        <f t="shared" si="1"/>
        <v>90</v>
      </c>
      <c r="S16" s="21">
        <f t="shared" si="1"/>
        <v>252</v>
      </c>
    </row>
  </sheetData>
  <mergeCells count="6">
    <mergeCell ref="B16:E16"/>
    <mergeCell ref="Q4:R4"/>
    <mergeCell ref="N4:P4"/>
    <mergeCell ref="G4:K4"/>
    <mergeCell ref="L4:M4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"/>
  <sheetViews>
    <sheetView workbookViewId="0"/>
  </sheetViews>
  <sheetFormatPr defaultRowHeight="14.4" x14ac:dyDescent="0.3"/>
  <cols>
    <col min="1" max="1" width="3" customWidth="1"/>
    <col min="2" max="2" width="6" customWidth="1"/>
    <col min="3" max="3" width="24" customWidth="1"/>
    <col min="4" max="4" width="20" customWidth="1"/>
    <col min="5" max="5" width="22" customWidth="1"/>
    <col min="6" max="6" width="45" customWidth="1"/>
    <col min="7" max="7" width="35" customWidth="1"/>
  </cols>
  <sheetData>
    <row r="2" spans="2:7" ht="21" x14ac:dyDescent="0.4">
      <c r="B2" s="1" t="s">
        <v>54</v>
      </c>
    </row>
    <row r="3" spans="2:7" x14ac:dyDescent="0.3">
      <c r="B3" s="2" t="s">
        <v>55</v>
      </c>
    </row>
    <row r="5" spans="2:7" ht="28.05" customHeight="1" x14ac:dyDescent="0.3">
      <c r="B5" s="5" t="s">
        <v>7</v>
      </c>
      <c r="C5" s="5" t="s">
        <v>56</v>
      </c>
      <c r="D5" s="5" t="s">
        <v>57</v>
      </c>
      <c r="E5" s="5" t="s">
        <v>58</v>
      </c>
      <c r="F5" s="5" t="s">
        <v>59</v>
      </c>
      <c r="G5" s="5" t="s">
        <v>60</v>
      </c>
    </row>
    <row r="6" spans="2:7" ht="24" customHeight="1" x14ac:dyDescent="0.3">
      <c r="B6" s="10">
        <v>1</v>
      </c>
      <c r="C6" s="11" t="s">
        <v>61</v>
      </c>
      <c r="D6" s="23" t="s">
        <v>62</v>
      </c>
      <c r="E6" s="23" t="s">
        <v>63</v>
      </c>
      <c r="F6" s="24" t="s">
        <v>64</v>
      </c>
      <c r="G6" s="11" t="s">
        <v>65</v>
      </c>
    </row>
    <row r="7" spans="2:7" ht="24" customHeight="1" x14ac:dyDescent="0.3">
      <c r="B7" s="16">
        <v>2</v>
      </c>
      <c r="C7" s="17" t="s">
        <v>66</v>
      </c>
      <c r="D7" s="25" t="s">
        <v>67</v>
      </c>
      <c r="E7" s="25" t="s">
        <v>68</v>
      </c>
      <c r="F7" s="26" t="s">
        <v>69</v>
      </c>
      <c r="G7" s="17" t="s">
        <v>70</v>
      </c>
    </row>
    <row r="8" spans="2:7" ht="24" customHeight="1" x14ac:dyDescent="0.3">
      <c r="B8" s="10">
        <v>3</v>
      </c>
      <c r="C8" s="11" t="s">
        <v>71</v>
      </c>
      <c r="D8" s="23" t="s">
        <v>72</v>
      </c>
      <c r="E8" s="23" t="s">
        <v>73</v>
      </c>
      <c r="F8" s="24" t="s">
        <v>74</v>
      </c>
      <c r="G8" s="11" t="s">
        <v>75</v>
      </c>
    </row>
    <row r="9" spans="2:7" ht="24" customHeight="1" x14ac:dyDescent="0.3">
      <c r="B9" s="16">
        <v>4</v>
      </c>
      <c r="C9" s="17" t="s">
        <v>76</v>
      </c>
      <c r="D9" s="25" t="s">
        <v>77</v>
      </c>
      <c r="E9" s="25" t="s">
        <v>78</v>
      </c>
      <c r="F9" s="26" t="s">
        <v>79</v>
      </c>
      <c r="G9" s="17" t="s">
        <v>80</v>
      </c>
    </row>
    <row r="10" spans="2:7" ht="24" customHeight="1" x14ac:dyDescent="0.3">
      <c r="B10" s="10">
        <v>5</v>
      </c>
      <c r="C10" s="11" t="s">
        <v>81</v>
      </c>
      <c r="D10" s="23" t="s">
        <v>82</v>
      </c>
      <c r="E10" s="23" t="s">
        <v>83</v>
      </c>
      <c r="F10" s="24" t="s">
        <v>84</v>
      </c>
      <c r="G10" s="11" t="s">
        <v>85</v>
      </c>
    </row>
    <row r="11" spans="2:7" ht="24" customHeight="1" x14ac:dyDescent="0.3">
      <c r="B11" s="16">
        <v>6</v>
      </c>
      <c r="C11" s="17" t="s">
        <v>86</v>
      </c>
      <c r="D11" s="25" t="s">
        <v>87</v>
      </c>
      <c r="E11" s="25" t="s">
        <v>88</v>
      </c>
      <c r="F11" s="26" t="s">
        <v>89</v>
      </c>
      <c r="G11" s="17" t="s">
        <v>90</v>
      </c>
    </row>
    <row r="12" spans="2:7" ht="24" customHeight="1" x14ac:dyDescent="0.3">
      <c r="B12" s="10">
        <v>7</v>
      </c>
      <c r="C12" s="11" t="s">
        <v>91</v>
      </c>
      <c r="D12" s="23" t="s">
        <v>92</v>
      </c>
      <c r="E12" s="23" t="s">
        <v>93</v>
      </c>
      <c r="F12" s="24" t="s">
        <v>94</v>
      </c>
      <c r="G12" s="11" t="s">
        <v>95</v>
      </c>
    </row>
    <row r="13" spans="2:7" ht="24" customHeight="1" x14ac:dyDescent="0.3">
      <c r="B13" s="16">
        <v>8</v>
      </c>
      <c r="C13" s="17" t="s">
        <v>96</v>
      </c>
      <c r="D13" s="25" t="s">
        <v>97</v>
      </c>
      <c r="E13" s="25" t="s">
        <v>98</v>
      </c>
      <c r="F13" s="26" t="s">
        <v>99</v>
      </c>
      <c r="G13" s="17" t="s">
        <v>100</v>
      </c>
    </row>
    <row r="14" spans="2:7" ht="24" customHeight="1" x14ac:dyDescent="0.3">
      <c r="B14" s="10">
        <v>9</v>
      </c>
      <c r="C14" s="11" t="s">
        <v>101</v>
      </c>
      <c r="D14" s="23" t="s">
        <v>102</v>
      </c>
      <c r="E14" s="23" t="s">
        <v>103</v>
      </c>
      <c r="F14" s="24" t="s">
        <v>104</v>
      </c>
      <c r="G14" s="11" t="s">
        <v>105</v>
      </c>
    </row>
    <row r="15" spans="2:7" ht="24" customHeight="1" x14ac:dyDescent="0.3">
      <c r="B15" s="16">
        <v>10</v>
      </c>
      <c r="C15" s="17" t="s">
        <v>106</v>
      </c>
      <c r="D15" s="25" t="s">
        <v>107</v>
      </c>
      <c r="E15" s="25" t="s">
        <v>108</v>
      </c>
      <c r="F15" s="26" t="s">
        <v>109</v>
      </c>
      <c r="G15" s="17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Bang_Cong_Tong_Hop</vt:lpstr>
      <vt:lpstr>Mapping_Vao_Bang_Luong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 Trung</cp:lastModifiedBy>
  <dcterms:created xsi:type="dcterms:W3CDTF">2026-09-17T02:10:20Z</dcterms:created>
  <dcterms:modified xsi:type="dcterms:W3CDTF">2026-09-17T02:12:09Z</dcterms:modified>
</cp:coreProperties>
</file>